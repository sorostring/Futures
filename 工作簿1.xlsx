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haochen/Desktop/Futures_Derivative/"/>
    </mc:Choice>
  </mc:AlternateContent>
  <xr:revisionPtr revIDLastSave="0" documentId="13_ncr:1_{4887190C-8248-7F4E-9794-C2C21A723F36}" xr6:coauthVersionLast="47" xr6:coauthVersionMax="47" xr10:uidLastSave="{00000000-0000-0000-0000-000000000000}"/>
  <bookViews>
    <workbookView xWindow="340" yWindow="500" windowWidth="28100" windowHeight="15960" activeTab="1" xr2:uid="{01478177-066F-684A-96FD-4867F9812F85}"/>
  </bookViews>
  <sheets>
    <sheet name="Sheet1" sheetId="2" r:id="rId1"/>
    <sheet name="加权平均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3"/>
  <c r="L9" i="2"/>
  <c r="L10" i="2"/>
  <c r="L11" i="2"/>
  <c r="L12" i="2"/>
  <c r="L13" i="2"/>
  <c r="L14" i="2"/>
  <c r="L15" i="2"/>
  <c r="L16" i="2"/>
  <c r="L17" i="2"/>
  <c r="L18" i="2"/>
  <c r="L19" i="2"/>
  <c r="L8" i="2"/>
  <c r="G10" i="2"/>
  <c r="G11" i="2"/>
  <c r="G12" i="2"/>
  <c r="G13" i="2"/>
  <c r="G14" i="2"/>
  <c r="G15" i="2"/>
  <c r="G16" i="2"/>
  <c r="G17" i="2"/>
  <c r="G18" i="2"/>
  <c r="G19" i="2"/>
  <c r="D9" i="2" a="1"/>
  <c r="D9" i="2" s="1"/>
  <c r="G9" i="2" s="1"/>
  <c r="D10" i="2" a="1"/>
  <c r="D10" i="2"/>
  <c r="D11" i="2" a="1"/>
  <c r="D11" i="2" s="1"/>
  <c r="D12" i="2" a="1"/>
  <c r="D12" i="2"/>
  <c r="D13" i="2" a="1"/>
  <c r="D13" i="2" s="1"/>
  <c r="D14" i="2" a="1"/>
  <c r="D14" i="2" s="1"/>
  <c r="D15" i="2" a="1"/>
  <c r="D15" i="2"/>
  <c r="D16" i="2" a="1"/>
  <c r="D16" i="2" s="1"/>
  <c r="D17" i="2" a="1"/>
  <c r="D17" i="2" s="1"/>
  <c r="D18" i="2" a="1"/>
  <c r="D18" i="2" s="1"/>
  <c r="D19" i="2" a="1"/>
  <c r="D19" i="2" s="1"/>
  <c r="D8" i="2" a="1"/>
  <c r="D8" i="2" s="1"/>
  <c r="G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/>
  <c r="K19" i="2" a="1"/>
  <c r="K19" i="2" s="1"/>
  <c r="K8" i="2" a="1"/>
  <c r="K8" i="2" s="1"/>
  <c r="C17" i="3" l="1"/>
  <c r="B18" i="3" s="1"/>
  <c r="B2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<sst xmlns="http://schemas.openxmlformats.org/spreadsheetml/2006/main" count="37" uniqueCount="33">
  <si>
    <t>数量</t>
    <phoneticPr fontId="1" type="noConversion"/>
  </si>
  <si>
    <t>BTO</t>
    <phoneticPr fontId="1" type="noConversion"/>
  </si>
  <si>
    <t>STC</t>
    <phoneticPr fontId="1" type="noConversion"/>
  </si>
  <si>
    <t>我们看看美国的记账方式</t>
    <phoneticPr fontId="1" type="noConversion"/>
  </si>
  <si>
    <t>Start-of_day Position</t>
    <phoneticPr fontId="1" type="noConversion"/>
  </si>
  <si>
    <t>LONG</t>
    <phoneticPr fontId="1" type="noConversion"/>
  </si>
  <si>
    <t>SHORT</t>
    <phoneticPr fontId="1" type="noConversion"/>
  </si>
  <si>
    <t>Prior day Settlement Price</t>
    <phoneticPr fontId="1" type="noConversion"/>
  </si>
  <si>
    <t>LONG:</t>
    <phoneticPr fontId="1" type="noConversion"/>
  </si>
  <si>
    <t>SHORT:</t>
    <phoneticPr fontId="1" type="noConversion"/>
  </si>
  <si>
    <t>隔夜头寸，多头</t>
    <phoneticPr fontId="1" type="noConversion"/>
  </si>
  <si>
    <t>隔夜头寸，空头</t>
    <phoneticPr fontId="1" type="noConversion"/>
  </si>
  <si>
    <t>Trade BOOK</t>
    <phoneticPr fontId="1" type="noConversion"/>
  </si>
  <si>
    <t>LONG POSITION</t>
    <phoneticPr fontId="1" type="noConversion"/>
  </si>
  <si>
    <t xml:space="preserve">BTO/STC </t>
    <phoneticPr fontId="1" type="noConversion"/>
  </si>
  <si>
    <t>SHORT POSITION</t>
    <phoneticPr fontId="1" type="noConversion"/>
  </si>
  <si>
    <t>STO/BTC</t>
    <phoneticPr fontId="1" type="noConversion"/>
  </si>
  <si>
    <t>参</t>
    <phoneticPr fontId="1" type="noConversion"/>
  </si>
  <si>
    <t>STO</t>
    <phoneticPr fontId="1" type="noConversion"/>
  </si>
  <si>
    <t>BTC</t>
    <phoneticPr fontId="1" type="noConversion"/>
  </si>
  <si>
    <t>End-of day position</t>
    <phoneticPr fontId="1" type="noConversion"/>
  </si>
  <si>
    <t>数量变动</t>
    <phoneticPr fontId="1" type="noConversion"/>
  </si>
  <si>
    <t>PRICE</t>
    <phoneticPr fontId="1" type="noConversion"/>
  </si>
  <si>
    <t>multiple</t>
    <phoneticPr fontId="1" type="noConversion"/>
  </si>
  <si>
    <t>amount</t>
    <phoneticPr fontId="1" type="noConversion"/>
  </si>
  <si>
    <t>数量 Quantity</t>
    <phoneticPr fontId="1" type="noConversion"/>
  </si>
  <si>
    <t>settlement Price</t>
    <phoneticPr fontId="1" type="noConversion"/>
  </si>
  <si>
    <t>中文当日盈亏</t>
    <phoneticPr fontId="1" type="noConversion"/>
  </si>
  <si>
    <t>plus</t>
    <phoneticPr fontId="1" type="noConversion"/>
  </si>
  <si>
    <t>price</t>
    <phoneticPr fontId="1" type="noConversion"/>
  </si>
  <si>
    <t>QTY</t>
    <phoneticPr fontId="1" type="noConversion"/>
  </si>
  <si>
    <t>Sum</t>
    <phoneticPr fontId="1" type="noConversion"/>
  </si>
  <si>
    <t>加权价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</si>
</sst>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00"/>
  </numFmts>
  <fonts count="5">
    <font>
      <sz val="12"/>
      <color theme="1"/>
      <name val="MicrosoftYaHei"/>
      <family val="2"/>
      <charset val="134"/>
    </font>
    <font>
      <sz val="9"/>
      <name val="MicrosoftYaHei"/>
      <family val="2"/>
      <charset val="134"/>
    </font>
    <font>
      <sz val="14"/>
      <color theme="1"/>
      <name val="MicrosoftYaHei"/>
      <family val="2"/>
      <charset val="134"/>
    </font>
    <font>
      <b/>
      <sz val="14"/>
      <color theme="1"/>
      <name val="MicrosoftYaHei"/>
      <charset val="134"/>
    </font>
    <font>
      <sz val="14"/>
      <color rgb="FFFF0000"/>
      <name val="Microsoft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Border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0" fillId="0" borderId="1" xfId="0" applyBorder="1">
      <alignment vertical="center"/>
    </xf>
    <xf numFmtId="2" fontId="0" fillId="0" borderId="0" xfId="0" applyNumberFormat="1">
      <alignment vertical="center"/>
    </xf>
    <xf numFmtId="0" fontId="0" fillId="2" borderId="0" xfId="0" applyFill="1">
      <alignment vertical="center"/>
    </xf>
    <xf numFmtId="2" fontId="0" fillId="2" borderId="0" xfId="0" applyNumberFormat="1" applyFill="1">
      <alignment vertical="center"/>
    </xf>
    <xf numFmtId="17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D4FD-9E98-A549-BA88-39DFB7CEB22E}">
  <dimension ref="A1:O24"/>
  <sheetViews>
    <sheetView topLeftCell="A6" workbookViewId="0">
      <selection activeCell="D24" sqref="D24"/>
    </sheetView>
  </sheetViews>
  <sheetFormatPr baseColWidth="10" defaultRowHeight="21"/>
  <cols>
    <col min="1" max="1" width="29.140625" style="1" customWidth="1"/>
    <col min="2" max="2" width="18.28515625" style="1" customWidth="1"/>
    <col min="3" max="3" width="12.28515625" style="1" customWidth="1"/>
    <col min="4" max="4" width="9.28515625" style="1" customWidth="1"/>
    <col min="5" max="5" width="10.140625" style="1" customWidth="1"/>
    <col min="6" max="6" width="14.5703125" style="1" customWidth="1"/>
    <col min="7" max="7" width="10.7109375" style="1"/>
    <col min="8" max="8" width="9.7109375" style="1" customWidth="1"/>
    <col min="9" max="16384" width="10.7109375" style="1"/>
  </cols>
  <sheetData>
    <row r="1" spans="1:15">
      <c r="A1" s="1" t="s">
        <v>3</v>
      </c>
    </row>
    <row r="2" spans="1:15">
      <c r="A2" s="1" t="s">
        <v>4</v>
      </c>
      <c r="B2" s="1" t="s">
        <v>8</v>
      </c>
      <c r="C2" s="1">
        <v>0</v>
      </c>
      <c r="D2" s="1" t="s">
        <v>10</v>
      </c>
    </row>
    <row r="3" spans="1:15">
      <c r="B3" s="1" t="s">
        <v>9</v>
      </c>
      <c r="C3" s="1">
        <v>0</v>
      </c>
      <c r="D3" s="1" t="s">
        <v>11</v>
      </c>
    </row>
    <row r="4" spans="1:15">
      <c r="A4" s="1" t="s">
        <v>7</v>
      </c>
      <c r="B4" s="6"/>
      <c r="C4" s="7">
        <v>4000</v>
      </c>
    </row>
    <row r="6" spans="1:15" ht="22">
      <c r="A6" s="1" t="s">
        <v>12</v>
      </c>
      <c r="B6" s="3" t="s">
        <v>13</v>
      </c>
      <c r="I6" s="4" t="s">
        <v>15</v>
      </c>
    </row>
    <row r="7" spans="1:15">
      <c r="B7" s="1" t="s">
        <v>25</v>
      </c>
      <c r="C7" s="1" t="s">
        <v>14</v>
      </c>
      <c r="D7" s="1" t="s">
        <v>21</v>
      </c>
      <c r="E7" s="6" t="s">
        <v>22</v>
      </c>
      <c r="F7" s="1" t="s">
        <v>23</v>
      </c>
      <c r="G7" s="1" t="s">
        <v>24</v>
      </c>
      <c r="I7" s="1" t="s">
        <v>0</v>
      </c>
      <c r="J7" s="1" t="s">
        <v>16</v>
      </c>
      <c r="K7" s="1" t="s">
        <v>17</v>
      </c>
      <c r="L7" s="1" t="s">
        <v>21</v>
      </c>
      <c r="M7" s="1" t="s">
        <v>22</v>
      </c>
      <c r="N7" s="1" t="s">
        <v>23</v>
      </c>
      <c r="O7" s="1" t="s">
        <v>24</v>
      </c>
    </row>
    <row r="8" spans="1:15">
      <c r="B8" s="1">
        <v>40</v>
      </c>
      <c r="C8" s="1" t="s">
        <v>1</v>
      </c>
      <c r="D8" s="1" cm="1">
        <f t="array" ref="D8">B8*(_xlfn.IFS(C8="BTO",1,C8="STC",-1,TRUE,0))</f>
        <v>40</v>
      </c>
      <c r="E8" s="1">
        <v>4000</v>
      </c>
      <c r="F8" s="1">
        <v>10</v>
      </c>
      <c r="G8" s="1">
        <f>B8*D8*E8*F8</f>
        <v>64000000</v>
      </c>
      <c r="I8" s="1">
        <v>0</v>
      </c>
      <c r="J8" s="1" t="s">
        <v>18</v>
      </c>
      <c r="K8" s="1" cm="1">
        <f t="array" ref="K8">_xlfn.IFS(J8="STO",1,J8="BTC",-1,TRUE,0)</f>
        <v>1</v>
      </c>
      <c r="L8" s="1">
        <f>I8*K8</f>
        <v>0</v>
      </c>
      <c r="N8" s="1">
        <v>10</v>
      </c>
    </row>
    <row r="9" spans="1:15">
      <c r="B9" s="1">
        <v>20</v>
      </c>
      <c r="C9" s="1" t="s">
        <v>2</v>
      </c>
      <c r="D9" s="1" cm="1">
        <f t="array" ref="D9">B9*(_xlfn.IFS(C9="BTO",1,C9="STC",-1,TRUE,0))</f>
        <v>-20</v>
      </c>
      <c r="E9" s="1">
        <v>4030</v>
      </c>
      <c r="F9" s="1">
        <v>10</v>
      </c>
      <c r="G9" s="1">
        <f t="shared" ref="G9:G19" si="0">B9*D9*E9*F9</f>
        <v>-16120000</v>
      </c>
      <c r="I9" s="1">
        <v>0</v>
      </c>
      <c r="J9" s="1" t="s">
        <v>19</v>
      </c>
      <c r="K9" s="1" cm="1">
        <f t="array" ref="K9">_xlfn.IFS(J9="STO",1,J9="BTC",-1,TRUE,0)</f>
        <v>-1</v>
      </c>
      <c r="L9" s="1">
        <f t="shared" ref="L9:L19" si="1">I9*K9</f>
        <v>0</v>
      </c>
      <c r="N9" s="1">
        <v>10</v>
      </c>
    </row>
    <row r="10" spans="1:15">
      <c r="D10" s="1" cm="1">
        <f t="array" ref="D10">B10*(_xlfn.IFS(C10="BTO",1,C10="STC",-1,TRUE,0))</f>
        <v>0</v>
      </c>
      <c r="F10" s="1">
        <v>10</v>
      </c>
      <c r="G10" s="1">
        <f t="shared" si="0"/>
        <v>0</v>
      </c>
      <c r="K10" s="1" cm="1">
        <f t="array" ref="K10">_xlfn.IFS(J10="STO",1,J10="BTC",-1,TRUE,0)</f>
        <v>0</v>
      </c>
      <c r="L10" s="1">
        <f t="shared" si="1"/>
        <v>0</v>
      </c>
      <c r="N10" s="1">
        <v>10</v>
      </c>
    </row>
    <row r="11" spans="1:15">
      <c r="D11" s="1" cm="1">
        <f t="array" ref="D11">B11*(_xlfn.IFS(C11="BTO",1,C11="STC",-1,TRUE,0))</f>
        <v>0</v>
      </c>
      <c r="F11" s="1">
        <v>10</v>
      </c>
      <c r="G11" s="1">
        <f t="shared" si="0"/>
        <v>0</v>
      </c>
      <c r="K11" s="1" cm="1">
        <f t="array" ref="K11">_xlfn.IFS(J11="STO",1,J11="BTC",-1,TRUE,0)</f>
        <v>0</v>
      </c>
      <c r="L11" s="1">
        <f t="shared" si="1"/>
        <v>0</v>
      </c>
      <c r="N11" s="1">
        <v>10</v>
      </c>
    </row>
    <row r="12" spans="1:15">
      <c r="D12" s="1" cm="1">
        <f t="array" ref="D12">B12*(_xlfn.IFS(C12="BTO",1,C12="STC",-1,TRUE,0))</f>
        <v>0</v>
      </c>
      <c r="F12" s="1">
        <v>10</v>
      </c>
      <c r="G12" s="1">
        <f t="shared" si="0"/>
        <v>0</v>
      </c>
      <c r="K12" s="1" cm="1">
        <f t="array" ref="K12">_xlfn.IFS(J12="STO",1,J12="BTC",-1,TRUE,0)</f>
        <v>0</v>
      </c>
      <c r="L12" s="1">
        <f t="shared" si="1"/>
        <v>0</v>
      </c>
      <c r="N12" s="1">
        <v>10</v>
      </c>
    </row>
    <row r="13" spans="1:15">
      <c r="D13" s="1" cm="1">
        <f t="array" ref="D13">B13*(_xlfn.IFS(C13="BTO",1,C13="STC",-1,TRUE,0))</f>
        <v>0</v>
      </c>
      <c r="F13" s="1">
        <v>10</v>
      </c>
      <c r="G13" s="1">
        <f t="shared" si="0"/>
        <v>0</v>
      </c>
      <c r="K13" s="1" cm="1">
        <f t="array" ref="K13">_xlfn.IFS(J13="STO",1,J13="BTC",-1,TRUE,0)</f>
        <v>0</v>
      </c>
      <c r="L13" s="1">
        <f t="shared" si="1"/>
        <v>0</v>
      </c>
      <c r="N13" s="1">
        <v>10</v>
      </c>
    </row>
    <row r="14" spans="1:15">
      <c r="D14" s="1" cm="1">
        <f t="array" ref="D14">B14*(_xlfn.IFS(C14="BTO",1,C14="STC",-1,TRUE,0))</f>
        <v>0</v>
      </c>
      <c r="F14" s="1">
        <v>10</v>
      </c>
      <c r="G14" s="1">
        <f t="shared" si="0"/>
        <v>0</v>
      </c>
      <c r="K14" s="1" cm="1">
        <f t="array" ref="K14">_xlfn.IFS(J14="STO",1,J14="BTC",-1,TRUE,0)</f>
        <v>0</v>
      </c>
      <c r="L14" s="1">
        <f t="shared" si="1"/>
        <v>0</v>
      </c>
      <c r="N14" s="1">
        <v>10</v>
      </c>
    </row>
    <row r="15" spans="1:15">
      <c r="D15" s="1" cm="1">
        <f t="array" ref="D15">B15*(_xlfn.IFS(C15="BTO",1,C15="STC",-1,TRUE,0))</f>
        <v>0</v>
      </c>
      <c r="F15" s="1">
        <v>10</v>
      </c>
      <c r="G15" s="1">
        <f t="shared" si="0"/>
        <v>0</v>
      </c>
      <c r="K15" s="1" cm="1">
        <f t="array" ref="K15">_xlfn.IFS(J15="STO",1,J15="BTC",-1,TRUE,0)</f>
        <v>0</v>
      </c>
      <c r="L15" s="1">
        <f t="shared" si="1"/>
        <v>0</v>
      </c>
      <c r="N15" s="1">
        <v>10</v>
      </c>
    </row>
    <row r="16" spans="1:15">
      <c r="D16" s="1" cm="1">
        <f t="array" ref="D16">B16*(_xlfn.IFS(C16="BTO",1,C16="STC",-1,TRUE,0))</f>
        <v>0</v>
      </c>
      <c r="F16" s="1">
        <v>10</v>
      </c>
      <c r="G16" s="1">
        <f t="shared" si="0"/>
        <v>0</v>
      </c>
      <c r="K16" s="1" cm="1">
        <f t="array" ref="K16">_xlfn.IFS(J16="STO",1,J16="BTC",-1,TRUE,0)</f>
        <v>0</v>
      </c>
      <c r="L16" s="1">
        <f t="shared" si="1"/>
        <v>0</v>
      </c>
      <c r="N16" s="1">
        <v>10</v>
      </c>
    </row>
    <row r="17" spans="1:15">
      <c r="D17" s="1" cm="1">
        <f t="array" ref="D17">B17*(_xlfn.IFS(C17="BTO",1,C17="STC",-1,TRUE,0))</f>
        <v>0</v>
      </c>
      <c r="F17" s="1">
        <v>10</v>
      </c>
      <c r="G17" s="1">
        <f t="shared" si="0"/>
        <v>0</v>
      </c>
      <c r="K17" s="1" cm="1">
        <f t="array" ref="K17">_xlfn.IFS(J17="STO",1,J17="BTC",-1,TRUE,0)</f>
        <v>0</v>
      </c>
      <c r="L17" s="1">
        <f t="shared" si="1"/>
        <v>0</v>
      </c>
      <c r="N17" s="1">
        <v>10</v>
      </c>
    </row>
    <row r="18" spans="1:15">
      <c r="B18" s="5"/>
      <c r="C18" s="5"/>
      <c r="D18" s="1" cm="1">
        <f t="array" ref="D18">B18*(_xlfn.IFS(C18="BTO",1,C18="STC",-1,TRUE,0))</f>
        <v>0</v>
      </c>
      <c r="F18" s="1">
        <v>10</v>
      </c>
      <c r="G18" s="1">
        <f t="shared" si="0"/>
        <v>0</v>
      </c>
      <c r="I18" s="5"/>
      <c r="J18" s="5"/>
      <c r="K18" s="1" cm="1">
        <f t="array" ref="K18">_xlfn.IFS(J18="STO",1,J18="BTC",-1,TRUE,0)</f>
        <v>0</v>
      </c>
      <c r="L18" s="1">
        <f t="shared" si="1"/>
        <v>0</v>
      </c>
      <c r="N18" s="1">
        <v>10</v>
      </c>
    </row>
    <row r="19" spans="1:15">
      <c r="B19" s="2"/>
      <c r="C19" s="2"/>
      <c r="D19" s="2" cm="1">
        <f t="array" ref="D19">B19*(_xlfn.IFS(C19="BTO",1,C19="STC",-1,TRUE,0))</f>
        <v>0</v>
      </c>
      <c r="E19" s="2"/>
      <c r="F19" s="2">
        <v>10</v>
      </c>
      <c r="G19" s="2">
        <f t="shared" si="0"/>
        <v>0</v>
      </c>
      <c r="I19" s="2"/>
      <c r="J19" s="2"/>
      <c r="K19" s="2" cm="1">
        <f t="array" ref="K19">_xlfn.IFS(J19="STO",1,J19="BTC",-1,TRUE,0)</f>
        <v>0</v>
      </c>
      <c r="L19" s="2">
        <f t="shared" si="1"/>
        <v>0</v>
      </c>
      <c r="M19" s="2"/>
      <c r="N19" s="2">
        <v>10</v>
      </c>
      <c r="O19" s="2"/>
    </row>
    <row r="21" spans="1:15">
      <c r="A21" s="1" t="s">
        <v>20</v>
      </c>
      <c r="B21" s="1">
        <f>C2+SUM(D8:D19)</f>
        <v>20</v>
      </c>
      <c r="C21" s="4" t="s">
        <v>5</v>
      </c>
      <c r="I21" s="4" t="s">
        <v>6</v>
      </c>
    </row>
    <row r="22" spans="1:15">
      <c r="A22" s="1" t="s">
        <v>26</v>
      </c>
      <c r="B22" s="7">
        <v>4040</v>
      </c>
    </row>
    <row r="24" spans="1:15">
      <c r="A24" s="1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7F4E-4FC7-2747-84E4-D1B000C65F3D}">
  <dimension ref="A1:C18"/>
  <sheetViews>
    <sheetView tabSelected="1" workbookViewId="0">
      <selection activeCell="A5" sqref="A5"/>
    </sheetView>
  </sheetViews>
  <sheetFormatPr baseColWidth="10" defaultRowHeight="18"/>
  <cols>
    <col min="2" max="2" width="12.140625" bestFit="1" customWidth="1"/>
  </cols>
  <sheetData>
    <row r="1" spans="1:3">
      <c r="A1" t="s">
        <v>29</v>
      </c>
      <c r="B1" t="s">
        <v>30</v>
      </c>
      <c r="C1" t="s">
        <v>28</v>
      </c>
    </row>
    <row r="2" spans="1:3">
      <c r="A2" s="10">
        <v>7591.25</v>
      </c>
      <c r="B2" s="10">
        <v>1</v>
      </c>
      <c r="C2">
        <f>A2*B2</f>
        <v>7591.25</v>
      </c>
    </row>
    <row r="3" spans="1:3">
      <c r="A3" s="10">
        <v>7592.75</v>
      </c>
      <c r="B3" s="10">
        <v>2</v>
      </c>
      <c r="C3">
        <f t="shared" ref="C3:C16" si="0">A3*B3</f>
        <v>15185.5</v>
      </c>
    </row>
    <row r="4" spans="1:3">
      <c r="A4" s="11">
        <v>7608.5</v>
      </c>
      <c r="B4" s="10">
        <v>1</v>
      </c>
      <c r="C4" s="9">
        <f t="shared" si="0"/>
        <v>7608.5</v>
      </c>
    </row>
    <row r="5" spans="1:3">
      <c r="A5" s="10"/>
      <c r="B5" s="10"/>
      <c r="C5">
        <f t="shared" si="0"/>
        <v>0</v>
      </c>
    </row>
    <row r="6" spans="1:3">
      <c r="C6">
        <f t="shared" si="0"/>
        <v>0</v>
      </c>
    </row>
    <row r="7" spans="1:3">
      <c r="C7">
        <f t="shared" si="0"/>
        <v>0</v>
      </c>
    </row>
    <row r="8" spans="1:3">
      <c r="C8">
        <f t="shared" si="0"/>
        <v>0</v>
      </c>
    </row>
    <row r="9" spans="1:3">
      <c r="C9">
        <f t="shared" si="0"/>
        <v>0</v>
      </c>
    </row>
    <row r="10" spans="1:3">
      <c r="C10">
        <f t="shared" si="0"/>
        <v>0</v>
      </c>
    </row>
    <row r="11" spans="1:3">
      <c r="C11">
        <f t="shared" si="0"/>
        <v>0</v>
      </c>
    </row>
    <row r="12" spans="1:3">
      <c r="C12">
        <f t="shared" si="0"/>
        <v>0</v>
      </c>
    </row>
    <row r="13" spans="1:3">
      <c r="C13">
        <f t="shared" si="0"/>
        <v>0</v>
      </c>
    </row>
    <row r="14" spans="1:3">
      <c r="C14">
        <f t="shared" si="0"/>
        <v>0</v>
      </c>
    </row>
    <row r="15" spans="1:3">
      <c r="C15">
        <f t="shared" si="0"/>
        <v>0</v>
      </c>
    </row>
    <row r="16" spans="1:3">
      <c r="A16" s="8"/>
      <c r="B16" s="8"/>
      <c r="C16" s="8">
        <f t="shared" si="0"/>
        <v>0</v>
      </c>
    </row>
    <row r="17" spans="1:3">
      <c r="A17" t="s">
        <v>31</v>
      </c>
      <c r="B17">
        <f>SUM(B2:B16)</f>
        <v>4</v>
      </c>
      <c r="C17">
        <f>SUM(C2:C16)</f>
        <v>30385.25</v>
      </c>
    </row>
    <row r="18" spans="1:3">
      <c r="A18" t="s">
        <v>32</v>
      </c>
      <c r="B18" s="12">
        <f>C17/B17</f>
        <v>7596.3125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加权平均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Atticus</dc:creator>
  <cp:lastModifiedBy>Atticus</cp:lastModifiedBy>
  <dcterms:created xsi:type="dcterms:W3CDTF">2026-05-28T16:24:02Z</dcterms:created>
  <dcterms:modified xsi:type="dcterms:W3CDTF">2026-05-29T16:53:46Z</dcterms:modified>
</cp:coreProperties>
</file>